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Pricing" sheetId="1" state="visible" r:id="rId1"/>
    <sheet name="8-Hour Lab Simulation" sheetId="2" state="visible" r:id="rId2"/>
    <sheet name="Hour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"/>
    <numFmt numFmtId="165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i val="1"/>
      <color rgb="00C00000"/>
      <sz val="10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7" fillId="2" borderId="0" pivotButton="0" quotePrefix="0" xfId="0"/>
    <xf numFmtId="0" fontId="0" fillId="2" borderId="0" pivotButton="0" quotePrefix="0" xfId="0"/>
    <xf numFmtId="165" fontId="7" fillId="2" borderId="1" pivotButton="0" quotePrefix="0" xfId="0"/>
    <xf numFmtId="0" fontId="8" fillId="0" borderId="0" pivotButton="0" quotePrefix="0" xfId="0"/>
    <xf numFmtId="165" fontId="2" fillId="0" borderId="1" pivotButton="0" quotePrefix="0" xfId="0"/>
    <xf numFmtId="165" fontId="9" fillId="4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4" customWidth="1" min="4" max="4"/>
    <col width="16" customWidth="1" min="5" max="5"/>
    <col width="14" customWidth="1" min="6" max="6"/>
    <col width="18" customWidth="1" min="7" max="7"/>
    <col width="28" customWidth="1" min="8" max="8"/>
  </cols>
  <sheetData>
    <row r="1">
      <c r="A1" s="1" t="inlineStr">
        <is>
          <t>Resource</t>
        </is>
      </c>
      <c r="B1" s="1" t="inlineStr">
        <is>
          <t>SKU</t>
        </is>
      </c>
      <c r="C1" s="1" t="inlineStr">
        <is>
          <t>Region</t>
        </is>
      </c>
      <c r="D1" s="1" t="inlineStr">
        <is>
          <t>Pricing Model</t>
        </is>
      </c>
      <c r="E1" s="1" t="inlineStr">
        <is>
          <t>Unit Price (USD)</t>
        </is>
      </c>
      <c r="F1" s="1" t="inlineStr">
        <is>
          <t>Unit</t>
        </is>
      </c>
      <c r="G1" s="1" t="inlineStr">
        <is>
          <t>Hourly Rate (USD)</t>
        </is>
      </c>
      <c r="H1" s="1" t="inlineStr">
        <is>
          <t>Notes</t>
        </is>
      </c>
    </row>
    <row r="2">
      <c r="A2" s="2" t="inlineStr">
        <is>
          <t>VM Compute</t>
        </is>
      </c>
      <c r="B2" s="2" t="inlineStr">
        <is>
          <t>Standard_D2s_v5 Windows</t>
        </is>
      </c>
      <c r="C2" s="2" t="inlineStr">
        <is>
          <t>indonesiacentral</t>
        </is>
      </c>
      <c r="D2" s="2" t="inlineStr">
        <is>
          <t>Consumption</t>
        </is>
      </c>
      <c r="E2" s="3" t="n">
        <v>0.2</v>
      </c>
      <c r="F2" s="2" t="inlineStr">
        <is>
          <t>1 Hour</t>
        </is>
      </c>
      <c r="G2" s="3" t="n">
        <v>0.2</v>
      </c>
      <c r="H2" s="2" t="inlineStr">
        <is>
          <t>2 vCPU, 8GB RAM</t>
        </is>
      </c>
    </row>
    <row r="3">
      <c r="A3" s="2" t="inlineStr">
        <is>
          <t>VM OS Disk</t>
        </is>
      </c>
      <c r="B3" s="2" t="inlineStr">
        <is>
          <t>Standard HDD S10 128GB LRS</t>
        </is>
      </c>
      <c r="C3" s="2" t="inlineStr">
        <is>
          <t>indonesiacentral</t>
        </is>
      </c>
      <c r="D3" s="2" t="inlineStr">
        <is>
          <t>Consumption</t>
        </is>
      </c>
      <c r="E3" s="3" t="n">
        <v>5.89</v>
      </c>
      <c r="F3" s="2" t="inlineStr">
        <is>
          <t>1 Month</t>
        </is>
      </c>
      <c r="G3" s="3">
        <f>E3/730</f>
        <v/>
      </c>
      <c r="H3" s="2">
        <f>E3/730</f>
        <v/>
      </c>
    </row>
    <row r="4">
      <c r="A4" s="2" t="inlineStr">
        <is>
          <t>SQL Compute (per vCore)</t>
        </is>
      </c>
      <c r="B4" s="2" t="inlineStr">
        <is>
          <t>HS_S_Gen5_2 Serverless</t>
        </is>
      </c>
      <c r="C4" s="2" t="inlineStr">
        <is>
          <t>indonesiacentral</t>
        </is>
      </c>
      <c r="D4" s="2" t="inlineStr">
        <is>
          <t>Consumption</t>
        </is>
      </c>
      <c r="E4" s="3" t="n">
        <v>0.6849</v>
      </c>
      <c r="F4" s="2" t="inlineStr">
        <is>
          <t>1 vCore/Hour</t>
        </is>
      </c>
      <c r="G4" s="3" t="n">
        <v>0.6849</v>
      </c>
      <c r="H4" s="2" t="inlineStr">
        <is>
          <t>Min 0.5, Max 2 vCores</t>
        </is>
      </c>
    </row>
    <row r="5">
      <c r="A5" s="2" t="inlineStr">
        <is>
          <t>SQL Storage</t>
        </is>
      </c>
      <c r="B5" s="2" t="inlineStr">
        <is>
          <t>Hyperscale Data Stored</t>
        </is>
      </c>
      <c r="C5" s="2" t="inlineStr">
        <is>
          <t>indonesiacentral</t>
        </is>
      </c>
      <c r="D5" s="2" t="inlineStr">
        <is>
          <t>Consumption</t>
        </is>
      </c>
      <c r="E5" s="3" t="n">
        <v>0.108</v>
      </c>
      <c r="F5" s="2" t="inlineStr">
        <is>
          <t>1 GB/Month</t>
        </is>
      </c>
      <c r="G5" s="3">
        <f>E5/730</f>
        <v/>
      </c>
      <c r="H5" s="2">
        <f>E5/730</f>
        <v/>
      </c>
    </row>
    <row r="6">
      <c r="A6" s="2" t="inlineStr">
        <is>
          <t>SQL Backup (LRS)</t>
        </is>
      </c>
      <c r="B6" s="2" t="inlineStr">
        <is>
          <t>Hyperscale Backup LRS</t>
        </is>
      </c>
      <c r="C6" s="2" t="inlineStr">
        <is>
          <t>indonesiacentral</t>
        </is>
      </c>
      <c r="D6" s="2" t="inlineStr">
        <is>
          <t>Consumption</t>
        </is>
      </c>
      <c r="E6" s="3" t="n">
        <v>0.0864</v>
      </c>
      <c r="F6" s="2" t="inlineStr">
        <is>
          <t>1 GB/Month</t>
        </is>
      </c>
      <c r="G6" s="3">
        <f>E6/730</f>
        <v/>
      </c>
      <c r="H6" s="2">
        <f>E6/730</f>
        <v/>
      </c>
    </row>
    <row r="7">
      <c r="A7" s="2" t="inlineStr">
        <is>
          <t>GPT-5 Input</t>
        </is>
      </c>
      <c r="B7" s="2" t="inlineStr">
        <is>
          <t>GlobalStandard cap-20</t>
        </is>
      </c>
      <c r="C7" s="2" t="inlineStr">
        <is>
          <t>eastus2</t>
        </is>
      </c>
      <c r="D7" s="2" t="inlineStr">
        <is>
          <t>Per Token</t>
        </is>
      </c>
      <c r="E7" s="3" t="n">
        <v>0.0025</v>
      </c>
      <c r="F7" s="2" t="inlineStr">
        <is>
          <t>1K tokens</t>
        </is>
      </c>
      <c r="G7" s="3" t="n"/>
      <c r="H7" s="2" t="inlineStr">
        <is>
          <t>Est. gpt-4o rate proxy</t>
        </is>
      </c>
    </row>
    <row r="8">
      <c r="A8" s="2" t="inlineStr">
        <is>
          <t>GPT-5 Output</t>
        </is>
      </c>
      <c r="B8" s="2" t="inlineStr">
        <is>
          <t>GlobalStandard cap-20</t>
        </is>
      </c>
      <c r="C8" s="2" t="inlineStr">
        <is>
          <t>eastus2</t>
        </is>
      </c>
      <c r="D8" s="2" t="inlineStr">
        <is>
          <t>Per Token</t>
        </is>
      </c>
      <c r="E8" s="3" t="n">
        <v>0.01</v>
      </c>
      <c r="F8" s="2" t="inlineStr">
        <is>
          <t>1K tokens</t>
        </is>
      </c>
      <c r="G8" s="3" t="n"/>
      <c r="H8" s="2" t="inlineStr">
        <is>
          <t>Est. gpt-4o rate proxy</t>
        </is>
      </c>
    </row>
    <row r="9">
      <c r="A9" s="2" t="inlineStr">
        <is>
          <t>text-embedding-3-small</t>
        </is>
      </c>
      <c r="B9" s="2" t="inlineStr">
        <is>
          <t>GlobalStandard cap-50</t>
        </is>
      </c>
      <c r="C9" s="2" t="inlineStr">
        <is>
          <t>eastus2</t>
        </is>
      </c>
      <c r="D9" s="2" t="inlineStr">
        <is>
          <t>Per Token</t>
        </is>
      </c>
      <c r="E9" s="3" t="n">
        <v>2.5e-05</v>
      </c>
      <c r="F9" s="2" t="inlineStr">
        <is>
          <t>1K tokens</t>
        </is>
      </c>
      <c r="G9" s="3" t="n"/>
      <c r="H9" s="2" t="inlineStr">
        <is>
          <t>Confirmed from API</t>
        </is>
      </c>
    </row>
    <row r="10">
      <c r="A10" s="2" t="inlineStr">
        <is>
          <t>VNet</t>
        </is>
      </c>
      <c r="B10" s="2" t="inlineStr">
        <is>
          <t>vnet-lab513-2139d8</t>
        </is>
      </c>
      <c r="C10" s="2" t="inlineStr">
        <is>
          <t>indonesiacentral</t>
        </is>
      </c>
      <c r="D10" s="2" t="inlineStr">
        <is>
          <t>Free</t>
        </is>
      </c>
      <c r="E10" s="3" t="n">
        <v>0</v>
      </c>
      <c r="F10" s="2" t="inlineStr">
        <is>
          <t>N/A</t>
        </is>
      </c>
      <c r="G10" s="3" t="n">
        <v>0</v>
      </c>
      <c r="H10" s="2" t="inlineStr">
        <is>
          <t>No charge</t>
        </is>
      </c>
    </row>
    <row r="11">
      <c r="A11" s="2" t="inlineStr">
        <is>
          <t>NSG</t>
        </is>
      </c>
      <c r="B11" s="2" t="inlineStr">
        <is>
          <t>nsg-lab513-2139d8</t>
        </is>
      </c>
      <c r="C11" s="2" t="inlineStr">
        <is>
          <t>indonesiacentral</t>
        </is>
      </c>
      <c r="D11" s="2" t="inlineStr">
        <is>
          <t>Free</t>
        </is>
      </c>
      <c r="E11" s="3" t="n">
        <v>0</v>
      </c>
      <c r="F11" s="2" t="inlineStr">
        <is>
          <t>N/A</t>
        </is>
      </c>
      <c r="G11" s="3" t="n">
        <v>0</v>
      </c>
      <c r="H11" s="2" t="inlineStr">
        <is>
          <t>No charge</t>
        </is>
      </c>
    </row>
    <row r="12">
      <c r="A12" s="2" t="inlineStr">
        <is>
          <t>AI Foundry Project</t>
        </is>
      </c>
      <c r="B12" s="2" t="inlineStr">
        <is>
          <t>FAQ-Assistant-project</t>
        </is>
      </c>
      <c r="C12" s="2" t="inlineStr">
        <is>
          <t>eastus2</t>
        </is>
      </c>
      <c r="D12" s="2" t="inlineStr">
        <is>
          <t>Free</t>
        </is>
      </c>
      <c r="E12" s="3" t="n">
        <v>0</v>
      </c>
      <c r="F12" s="2" t="inlineStr">
        <is>
          <t>N/A</t>
        </is>
      </c>
      <c r="G12" s="3" t="n">
        <v>0</v>
      </c>
      <c r="H12" s="2" t="inlineStr">
        <is>
          <t>Included in AI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5" customWidth="1" min="4" max="4"/>
    <col width="22" customWidth="1" min="5" max="5"/>
  </cols>
  <sheetData>
    <row r="1">
      <c r="A1" s="4" t="inlineStr">
        <is>
          <t>Lab513 Cost Simulation - 8 Hour Workshop</t>
        </is>
      </c>
    </row>
    <row r="3">
      <c r="A3" s="5" t="inlineStr">
        <is>
          <t>SIMULATION PARAMETERS</t>
        </is>
      </c>
    </row>
    <row r="4">
      <c r="A4" s="6" t="inlineStr">
        <is>
          <t>Duration (hours)</t>
        </is>
      </c>
      <c r="B4" s="7" t="n">
        <v>8</v>
      </c>
      <c r="C4" s="6" t="inlineStr"/>
      <c r="E4" s="8" t="inlineStr"/>
    </row>
    <row r="5">
      <c r="A5" s="6" t="inlineStr">
        <is>
          <t>SQL vCore avg utilization</t>
        </is>
      </c>
      <c r="B5" s="7" t="n">
        <v>1</v>
      </c>
      <c r="C5" s="6" t="inlineStr">
        <is>
          <t>vCores</t>
        </is>
      </c>
      <c r="E5" s="8" t="inlineStr">
        <is>
          <t>Range: 0.5 - 2.0</t>
        </is>
      </c>
    </row>
    <row r="6">
      <c r="A6" s="6" t="inlineStr">
        <is>
          <t>SQL Storage used (GB)</t>
        </is>
      </c>
      <c r="B6" s="7" t="n">
        <v>10</v>
      </c>
      <c r="C6" s="6" t="inlineStr">
        <is>
          <t>GB</t>
        </is>
      </c>
      <c r="E6" s="8" t="inlineStr"/>
    </row>
    <row r="7">
      <c r="A7" s="6" t="inlineStr">
        <is>
          <t>Chat interactions</t>
        </is>
      </c>
      <c r="B7" s="7" t="n">
        <v>50</v>
      </c>
      <c r="C7" s="6" t="inlineStr">
        <is>
          <t>conversations</t>
        </is>
      </c>
      <c r="E7" s="8" t="inlineStr">
        <is>
          <t>During 8hr workshop</t>
        </is>
      </c>
    </row>
    <row r="8">
      <c r="A8" s="6" t="inlineStr">
        <is>
          <t>Avg input tokens per chat</t>
        </is>
      </c>
      <c r="B8" s="7" t="n">
        <v>500</v>
      </c>
      <c r="C8" s="6" t="inlineStr">
        <is>
          <t>tokens</t>
        </is>
      </c>
      <c r="E8" s="8" t="inlineStr"/>
    </row>
    <row r="9">
      <c r="A9" s="6" t="inlineStr">
        <is>
          <t>Avg output tokens per chat</t>
        </is>
      </c>
      <c r="B9" s="7" t="n">
        <v>300</v>
      </c>
      <c r="C9" s="6" t="inlineStr">
        <is>
          <t>tokens</t>
        </is>
      </c>
      <c r="E9" s="8" t="inlineStr"/>
    </row>
    <row r="10">
      <c r="A10" s="6" t="inlineStr">
        <is>
          <t>Embedding calls</t>
        </is>
      </c>
      <c r="B10" s="7" t="n">
        <v>100</v>
      </c>
      <c r="C10" s="6" t="inlineStr">
        <is>
          <t>calls</t>
        </is>
      </c>
      <c r="E10" s="8" t="inlineStr"/>
    </row>
    <row r="11">
      <c r="A11" s="6" t="inlineStr">
        <is>
          <t>Avg tokens per embedding</t>
        </is>
      </c>
      <c r="B11" s="7" t="n">
        <v>200</v>
      </c>
      <c r="C11" s="6" t="inlineStr">
        <is>
          <t>tokens</t>
        </is>
      </c>
      <c r="E11" s="8" t="inlineStr"/>
    </row>
    <row r="13">
      <c r="A13" s="5" t="inlineStr">
        <is>
          <t>COST BREAKDOWN (8 Hours)</t>
        </is>
      </c>
    </row>
    <row r="14">
      <c r="A14" s="9" t="inlineStr">
        <is>
          <t>Component</t>
        </is>
      </c>
      <c r="B14" s="9" t="inlineStr">
        <is>
          <t>Calculation</t>
        </is>
      </c>
      <c r="C14" s="9" t="inlineStr">
        <is>
          <t>Cost (USD)</t>
        </is>
      </c>
    </row>
    <row r="15">
      <c r="A15" s="6" t="inlineStr">
        <is>
          <t>VM Compute (D2s_v5 Windows)</t>
        </is>
      </c>
      <c r="B15" s="6" t="inlineStr">
        <is>
          <t>8 hrs × $0.200/hr</t>
        </is>
      </c>
      <c r="C15" s="10">
        <f>B4*0.2</f>
        <v/>
      </c>
    </row>
    <row r="16">
      <c r="A16" s="6" t="inlineStr">
        <is>
          <t>VM OS Disk (S10 128GB)</t>
        </is>
      </c>
      <c r="B16" s="6" t="inlineStr">
        <is>
          <t>8 hrs × $5.89/730/hr</t>
        </is>
      </c>
      <c r="C16" s="10">
        <f>B4*(5.89/730)</f>
        <v/>
      </c>
    </row>
    <row r="17">
      <c r="A17" s="6" t="inlineStr">
        <is>
          <t>SQL Compute (Serverless Gen5)</t>
        </is>
      </c>
      <c r="B17" s="6" t="inlineStr">
        <is>
          <t>8 hrs × vCores × $0.6849/vCore/hr</t>
        </is>
      </c>
      <c r="C17" s="10">
        <f>B4*B5*0.6849</f>
        <v/>
      </c>
    </row>
    <row r="18">
      <c r="A18" s="6" t="inlineStr">
        <is>
          <t>SQL Storage (Hyperscale)</t>
        </is>
      </c>
      <c r="B18" s="6" t="inlineStr">
        <is>
          <t>GB × $0.108/mo prorated</t>
        </is>
      </c>
      <c r="C18" s="10">
        <f>B6*0.108*(B4/730)</f>
        <v/>
      </c>
    </row>
    <row r="19">
      <c r="A19" s="6" t="inlineStr">
        <is>
          <t>GPT-5 Input Tokens</t>
        </is>
      </c>
      <c r="B19" s="6" t="inlineStr">
        <is>
          <t>chats × tokens × $0.0025/1K</t>
        </is>
      </c>
      <c r="C19" s="10">
        <f>B7*B8/1000*0.0025</f>
        <v/>
      </c>
    </row>
    <row r="20">
      <c r="A20" s="6" t="inlineStr">
        <is>
          <t>GPT-5 Output Tokens</t>
        </is>
      </c>
      <c r="B20" s="6" t="inlineStr">
        <is>
          <t>chats × tokens × $0.01/1K</t>
        </is>
      </c>
      <c r="C20" s="10">
        <f>B7*B9/1000*0.01</f>
        <v/>
      </c>
    </row>
    <row r="21">
      <c r="A21" s="6" t="inlineStr">
        <is>
          <t>Embedding Tokens</t>
        </is>
      </c>
      <c r="B21" s="6" t="inlineStr">
        <is>
          <t>calls × tokens × $0.000025/1K</t>
        </is>
      </c>
      <c r="C21" s="10">
        <f>B10*B11/1000*0.000025</f>
        <v/>
      </c>
    </row>
    <row r="22">
      <c r="A22" s="6" t="inlineStr">
        <is>
          <t>VNet + NSG + AI Project</t>
        </is>
      </c>
      <c r="B22" s="6" t="inlineStr">
        <is>
          <t>Free</t>
        </is>
      </c>
      <c r="C22" s="10" t="n">
        <v>0</v>
      </c>
    </row>
    <row r="24">
      <c r="A24" s="11" t="inlineStr">
        <is>
          <t>TOTAL COST (8 HOURS)</t>
        </is>
      </c>
      <c r="B24" s="12" t="n"/>
      <c r="C24" s="13">
        <f>SUM(C15:C22)</f>
        <v/>
      </c>
    </row>
    <row r="26">
      <c r="A26" s="5" t="inlineStr">
        <is>
          <t>Average cost per hour</t>
        </is>
      </c>
      <c r="C26" s="10">
        <f>C24/B4</f>
        <v/>
      </c>
    </row>
    <row r="27">
      <c r="A27" s="6" t="inlineStr">
        <is>
          <t>Monthly projection (if always-on 730hrs)</t>
        </is>
      </c>
      <c r="C27" s="10">
        <f>C26*730</f>
        <v/>
      </c>
    </row>
    <row r="29">
      <c r="A29" s="14" t="inlineStr">
        <is>
          <t>TIP: Deallocate VM when not in use to save $0.20/hr ($146/month)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Hour-by-Hour Cost Accumulation</t>
        </is>
      </c>
    </row>
    <row r="3">
      <c r="A3" s="9" t="inlineStr">
        <is>
          <t>Hour</t>
        </is>
      </c>
      <c r="B3" s="9" t="inlineStr">
        <is>
          <t>VM ($)</t>
        </is>
      </c>
      <c r="C3" s="9" t="inlineStr">
        <is>
          <t>Disk ($)</t>
        </is>
      </c>
      <c r="D3" s="9" t="inlineStr">
        <is>
          <t>SQL ($)</t>
        </is>
      </c>
      <c r="E3" s="9" t="inlineStr">
        <is>
          <t>AI Tokens ($)</t>
        </is>
      </c>
      <c r="F3" s="9" t="inlineStr">
        <is>
          <t>Running Total ($)</t>
        </is>
      </c>
    </row>
    <row r="4">
      <c r="A4" s="2" t="n">
        <v>1</v>
      </c>
      <c r="B4" s="15" t="n">
        <v>0.2</v>
      </c>
      <c r="C4" s="10">
        <f>5.89/730</f>
        <v/>
      </c>
      <c r="D4" s="15" t="n">
        <v>0.6849</v>
      </c>
      <c r="E4" s="10">
        <f>(50*500/1000*0.0025 + 50*300/1000*0.01 + 100*200/1000*0.000025)/8</f>
        <v/>
      </c>
      <c r="F4" s="16">
        <f>B4+C4+D4+E4</f>
        <v/>
      </c>
    </row>
    <row r="5">
      <c r="A5" s="2" t="n">
        <v>2</v>
      </c>
      <c r="B5" s="15" t="n">
        <v>0.2</v>
      </c>
      <c r="C5" s="10">
        <f>5.89/730</f>
        <v/>
      </c>
      <c r="D5" s="15" t="n">
        <v>0.6849</v>
      </c>
      <c r="E5" s="10">
        <f>(50*500/1000*0.0025 + 50*300/1000*0.01 + 100*200/1000*0.000025)/8</f>
        <v/>
      </c>
      <c r="F5" s="16">
        <f>F4+B5+C5+D5+E5</f>
        <v/>
      </c>
    </row>
    <row r="6">
      <c r="A6" s="2" t="n">
        <v>3</v>
      </c>
      <c r="B6" s="15" t="n">
        <v>0.2</v>
      </c>
      <c r="C6" s="10">
        <f>5.89/730</f>
        <v/>
      </c>
      <c r="D6" s="15" t="n">
        <v>0.6849</v>
      </c>
      <c r="E6" s="10">
        <f>(50*500/1000*0.0025 + 50*300/1000*0.01 + 100*200/1000*0.000025)/8</f>
        <v/>
      </c>
      <c r="F6" s="16">
        <f>F5+B6+C6+D6+E6</f>
        <v/>
      </c>
    </row>
    <row r="7">
      <c r="A7" s="2" t="n">
        <v>4</v>
      </c>
      <c r="B7" s="15" t="n">
        <v>0.2</v>
      </c>
      <c r="C7" s="10">
        <f>5.89/730</f>
        <v/>
      </c>
      <c r="D7" s="15" t="n">
        <v>0.6849</v>
      </c>
      <c r="E7" s="10">
        <f>(50*500/1000*0.0025 + 50*300/1000*0.01 + 100*200/1000*0.000025)/8</f>
        <v/>
      </c>
      <c r="F7" s="16">
        <f>F6+B7+C7+D7+E7</f>
        <v/>
      </c>
    </row>
    <row r="8">
      <c r="A8" s="2" t="n">
        <v>5</v>
      </c>
      <c r="B8" s="15" t="n">
        <v>0.2</v>
      </c>
      <c r="C8" s="10">
        <f>5.89/730</f>
        <v/>
      </c>
      <c r="D8" s="15" t="n">
        <v>0.6849</v>
      </c>
      <c r="E8" s="10">
        <f>(50*500/1000*0.0025 + 50*300/1000*0.01 + 100*200/1000*0.000025)/8</f>
        <v/>
      </c>
      <c r="F8" s="16">
        <f>F7+B8+C8+D8+E8</f>
        <v/>
      </c>
    </row>
    <row r="9">
      <c r="A9" s="2" t="n">
        <v>6</v>
      </c>
      <c r="B9" s="15" t="n">
        <v>0.2</v>
      </c>
      <c r="C9" s="10">
        <f>5.89/730</f>
        <v/>
      </c>
      <c r="D9" s="15" t="n">
        <v>0.6849</v>
      </c>
      <c r="E9" s="10">
        <f>(50*500/1000*0.0025 + 50*300/1000*0.01 + 100*200/1000*0.000025)/8</f>
        <v/>
      </c>
      <c r="F9" s="16">
        <f>F8+B9+C9+D9+E9</f>
        <v/>
      </c>
    </row>
    <row r="10">
      <c r="A10" s="2" t="n">
        <v>7</v>
      </c>
      <c r="B10" s="15" t="n">
        <v>0.2</v>
      </c>
      <c r="C10" s="10">
        <f>5.89/730</f>
        <v/>
      </c>
      <c r="D10" s="15" t="n">
        <v>0.6849</v>
      </c>
      <c r="E10" s="10">
        <f>(50*500/1000*0.0025 + 50*300/1000*0.01 + 100*200/1000*0.000025)/8</f>
        <v/>
      </c>
      <c r="F10" s="16">
        <f>F9+B10+C10+D10+E10</f>
        <v/>
      </c>
    </row>
    <row r="11">
      <c r="A11" s="2" t="n">
        <v>8</v>
      </c>
      <c r="B11" s="15" t="n">
        <v>0.2</v>
      </c>
      <c r="C11" s="10">
        <f>5.89/730</f>
        <v/>
      </c>
      <c r="D11" s="15" t="n">
        <v>0.6849</v>
      </c>
      <c r="E11" s="10">
        <f>(50*500/1000*0.0025 + 50*300/1000*0.01 + 100*200/1000*0.000025)/8</f>
        <v/>
      </c>
      <c r="F11" s="16">
        <f>F10+B11+C11+D11+E11</f>
        <v/>
      </c>
    </row>
    <row r="12">
      <c r="A12" s="17" t="inlineStr">
        <is>
          <t>TOTAL</t>
        </is>
      </c>
      <c r="F12" s="13">
        <f>F11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2026-07-01T07:17:40Z</dcterms:created>
  <dcterms:modified xsi:type="dcterms:W3CDTF">2026-07-01T07:17:40Z</dcterms:modified>
</cp:coreProperties>
</file>